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hagawathy manju\OneDrive\Desktop\"/>
    </mc:Choice>
  </mc:AlternateContent>
  <xr:revisionPtr revIDLastSave="0" documentId="13_ncr:1_{589A34D7-8475-4141-A675-6C541B6C37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Sheet1!$A$2:$A$21</definedName>
    <definedName name="_xlchart.v1.2" hidden="1">Sheet1!$B$1</definedName>
    <definedName name="_xlchart.v1.3" hidden="1">Sheet1!$B$2:$B$21</definedName>
    <definedName name="_xlchart.v1.4" hidden="1">Sheet1!$A$1</definedName>
    <definedName name="_xlchart.v1.5" hidden="1">Sheet1!$A$2:$A$21</definedName>
    <definedName name="_xlchart.v1.6" hidden="1">Sheet1!$B$1</definedName>
    <definedName name="_xlchart.v1.7" hidden="1">Sheet1!$B$2:$B$21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F10" i="1" l="1"/>
  <c r="F9" i="1"/>
  <c r="F7" i="1"/>
  <c r="F6" i="1"/>
  <c r="F4" i="1"/>
  <c r="F3" i="1"/>
</calcChain>
</file>

<file path=xl/sharedStrings.xml><?xml version="1.0" encoding="utf-8"?>
<sst xmlns="http://schemas.openxmlformats.org/spreadsheetml/2006/main" count="33" uniqueCount="29">
  <si>
    <t>GROUP A</t>
  </si>
  <si>
    <t>GROUP B</t>
  </si>
  <si>
    <t>AVERAGE</t>
  </si>
  <si>
    <t>A</t>
  </si>
  <si>
    <t>B</t>
  </si>
  <si>
    <t>VARIANCE</t>
  </si>
  <si>
    <t>S.D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</si>
  <si>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</si>
  <si>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</si>
  <si>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</si>
  <si>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</si>
  <si>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</si>
  <si>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</si>
  <si>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</si>
  <si>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</si>
  <si>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</si>
  <si>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</si>
  <si>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</si>
  <si>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</si>
  <si>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</si>
  <si>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Pooled SD</t>
  </si>
  <si>
    <t>Cohen's D</t>
  </si>
  <si>
    <t>Analysis</t>
  </si>
  <si>
    <t>A two-sample t-test was conducted to compare Group A and Group B.</t>
  </si>
  <si>
    <t>The results showed that the difference was statistically significant (p &lt; 0.05).</t>
  </si>
  <si>
    <t>Additionally, Cohen’s d indicated a large effect size, suggesting a meaningful difference between the groups.</t>
  </si>
  <si>
    <t>Group A - wider spread, lower median</t>
  </si>
  <si>
    <t>Group B -tighter spread, higher median</t>
  </si>
  <si>
    <t>Clear separation -suggests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</si>
</sst>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2" borderId="6" xfId="0" applyFill="1" applyBorder="1" applyAlignment="1"/>
    <xf numFmtId="0" fontId="0" fillId="0" borderId="8" xfId="0" applyFill="1" applyBorder="1" applyAlignment="1"/>
    <xf numFmtId="0" fontId="0" fillId="0" borderId="9" xfId="0" applyFill="1" applyBorder="1" applyAlignment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A4669A16-7516-49B5-B322-48170933BF39}">
          <cx:tx>
            <cx:txData>
              <cx:f>_xlchart.v1.4</cx:f>
              <cx:v>GROUP 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1D083DA-FD07-4EB6-B376-B51CCF9D5219}">
          <cx:tx>
            <cx:txData>
              <cx:f>_xlchart.v1.6</cx:f>
              <cx:v>GROUP 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301625</xdr:colOff>
      <xdr:row>2</xdr:row>
      <xdr:rowOff>12700</xdr:rowOff>
    </xdr:from>
    <xdr:to>
      <xdr:col>13</xdr:col>
      <xdr:colOff>606425</xdr:colOff>
      <xdr:row>17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FEDAA45-4B05-7A1A-29BE-7210A7C62D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4375" y="387350"/>
              <a:ext cx="4572000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7" workbookViewId="0">
      <selection activeCell="H23" sqref="H23"/>
    </sheetView>
  </sheetViews>
  <sheetFormatPr defaultRowHeight="14.5" x14ac:dyDescent="0.35"/>
  <cols>
    <col min="4" max="4" width="27.81640625" customWidth="1"/>
    <col min="5" max="5" width="8.7265625" customWidth="1"/>
    <col min="6" max="6" width="34.08984375" customWidth="1"/>
  </cols>
  <sheetData>
    <row r="1" spans="1:6" x14ac:dyDescent="0.35">
      <c r="A1" t="s">
        <v>0</v>
      </c>
      <c r="B1" t="s">
        <v>1</v>
      </c>
    </row>
    <row r="2" spans="1:6" ht="15" thickBot="1" x14ac:dyDescent="0.4">
      <c r="A2">
        <v>45</v>
      </c>
      <c r="B2">
        <v>65</v>
      </c>
    </row>
    <row r="3" spans="1:6" ht="15" thickBot="1" x14ac:dyDescent="0.4">
      <c r="A3">
        <v>50</v>
      </c>
      <c r="B3">
        <v>68</v>
      </c>
      <c r="D3" s="14" t="s">
        <v>2</v>
      </c>
      <c r="E3" s="15" t="s">
        <v>3</v>
      </c>
      <c r="F3" s="16">
        <f>AVERAGE(A2:A21)</f>
        <v>53</v>
      </c>
    </row>
    <row r="4" spans="1:6" ht="15" thickBot="1" x14ac:dyDescent="0.4">
      <c r="A4">
        <v>55</v>
      </c>
      <c r="B4">
        <v>70</v>
      </c>
      <c r="D4" s="11"/>
      <c r="E4" s="12" t="s">
        <v>4</v>
      </c>
      <c r="F4" s="13">
        <f>AVERAGE(B2:B21)</f>
        <v>69.25</v>
      </c>
    </row>
    <row r="5" spans="1:6" ht="15" thickBot="1" x14ac:dyDescent="0.4">
      <c r="A5">
        <v>60</v>
      </c>
      <c r="B5">
        <v>72</v>
      </c>
      <c r="D5" s="8"/>
      <c r="E5" s="9"/>
      <c r="F5" s="10"/>
    </row>
    <row r="6" spans="1:6" x14ac:dyDescent="0.35">
      <c r="A6">
        <v>53</v>
      </c>
      <c r="B6">
        <v>66</v>
      </c>
      <c r="D6" s="5" t="s">
        <v>5</v>
      </c>
      <c r="E6" s="6" t="s">
        <v>3</v>
      </c>
      <c r="F6" s="7">
        <f>_xlfn.VAR.S(A2:A21)</f>
        <v>30</v>
      </c>
    </row>
    <row r="7" spans="1:6" ht="15" thickBot="1" x14ac:dyDescent="0.4">
      <c r="A7">
        <v>48</v>
      </c>
      <c r="B7">
        <v>69</v>
      </c>
      <c r="D7" s="11"/>
      <c r="E7" s="12" t="s">
        <v>4</v>
      </c>
      <c r="F7" s="13">
        <f>_xlfn.VAR.S(B2:B21)</f>
        <v>9.1447368421052637</v>
      </c>
    </row>
    <row r="8" spans="1:6" ht="15" thickBot="1" x14ac:dyDescent="0.4">
      <c r="A8">
        <v>49</v>
      </c>
      <c r="B8">
        <v>71</v>
      </c>
      <c r="D8" s="8"/>
      <c r="E8" s="9"/>
      <c r="F8" s="10"/>
    </row>
    <row r="9" spans="1:6" x14ac:dyDescent="0.35">
      <c r="A9">
        <v>53</v>
      </c>
      <c r="B9">
        <v>73</v>
      </c>
      <c r="D9" s="5" t="s">
        <v>6</v>
      </c>
      <c r="E9" s="6" t="s">
        <v>3</v>
      </c>
      <c r="F9" s="7">
        <f>_xlfn.STDEV.S(A2:A21)</f>
        <v>5.4772255750516612</v>
      </c>
    </row>
    <row r="10" spans="1:6" ht="15" thickBot="1" x14ac:dyDescent="0.4">
      <c r="A10">
        <v>57</v>
      </c>
      <c r="B10">
        <v>67</v>
      </c>
      <c r="D10" s="11"/>
      <c r="E10" s="12" t="s">
        <v>4</v>
      </c>
      <c r="F10" s="13">
        <f>_xlfn.STDEV.S(B2:B21)</f>
        <v>3.024026594146497</v>
      </c>
    </row>
    <row r="11" spans="1:6" ht="15" thickBot="1" x14ac:dyDescent="0.4">
      <c r="A11">
        <v>58</v>
      </c>
      <c r="B11">
        <v>64</v>
      </c>
    </row>
    <row r="12" spans="1:6" x14ac:dyDescent="0.35">
      <c r="A12">
        <v>54</v>
      </c>
      <c r="B12">
        <v>75</v>
      </c>
      <c r="D12" s="5" t="s">
        <v>7</v>
      </c>
      <c r="E12" s="6"/>
      <c r="F12" s="7"/>
    </row>
    <row r="13" spans="1:6" ht="15" thickBot="1" x14ac:dyDescent="0.4">
      <c r="A13">
        <v>56</v>
      </c>
      <c r="B13">
        <v>74</v>
      </c>
      <c r="D13" s="8"/>
      <c r="E13" s="9"/>
      <c r="F13" s="10"/>
    </row>
    <row r="14" spans="1:6" x14ac:dyDescent="0.35">
      <c r="A14">
        <v>51</v>
      </c>
      <c r="B14">
        <v>72</v>
      </c>
      <c r="D14" s="17"/>
      <c r="E14" s="3" t="s">
        <v>8</v>
      </c>
      <c r="F14" s="18" t="s">
        <v>9</v>
      </c>
    </row>
    <row r="15" spans="1:6" x14ac:dyDescent="0.35">
      <c r="A15">
        <v>47</v>
      </c>
      <c r="B15">
        <v>68</v>
      </c>
      <c r="D15" s="19" t="s">
        <v>10</v>
      </c>
      <c r="E15" s="1">
        <v>53</v>
      </c>
      <c r="F15" s="20">
        <v>69.25</v>
      </c>
    </row>
    <row r="16" spans="1:6" x14ac:dyDescent="0.35">
      <c r="A16">
        <v>59</v>
      </c>
      <c r="B16">
        <v>66</v>
      </c>
      <c r="D16" s="19" t="s">
        <v>11</v>
      </c>
      <c r="E16" s="1">
        <v>30</v>
      </c>
      <c r="F16" s="20">
        <v>9.1447368421052637</v>
      </c>
    </row>
    <row r="17" spans="1:8" x14ac:dyDescent="0.35">
      <c r="A17">
        <v>61</v>
      </c>
      <c r="B17">
        <v>70</v>
      </c>
      <c r="D17" s="19" t="s">
        <v>12</v>
      </c>
      <c r="E17" s="1">
        <v>20</v>
      </c>
      <c r="F17" s="20">
        <v>20</v>
      </c>
    </row>
    <row r="18" spans="1:8" x14ac:dyDescent="0.35">
      <c r="A18">
        <v>62</v>
      </c>
      <c r="B18">
        <v>71</v>
      </c>
      <c r="D18" s="19" t="s">
        <v>13</v>
      </c>
      <c r="E18" s="1">
        <v>0</v>
      </c>
      <c r="F18" s="20"/>
    </row>
    <row r="19" spans="1:8" x14ac:dyDescent="0.35">
      <c r="A19">
        <v>46</v>
      </c>
      <c r="B19">
        <v>69</v>
      </c>
      <c r="D19" s="19" t="s">
        <v>14</v>
      </c>
      <c r="E19" s="1">
        <v>30</v>
      </c>
      <c r="F19" s="20"/>
    </row>
    <row r="20" spans="1:8" x14ac:dyDescent="0.35">
      <c r="A20">
        <v>44</v>
      </c>
      <c r="B20">
        <v>67</v>
      </c>
      <c r="D20" s="19" t="s">
        <v>15</v>
      </c>
      <c r="E20" s="1">
        <v>-11.61533324474828</v>
      </c>
      <c r="F20" s="20"/>
      <c r="H20" t="s">
        <v>26</v>
      </c>
    </row>
    <row r="21" spans="1:8" x14ac:dyDescent="0.35">
      <c r="A21">
        <v>52</v>
      </c>
      <c r="B21">
        <v>68</v>
      </c>
      <c r="D21" s="19" t="s">
        <v>16</v>
      </c>
      <c r="E21" s="1">
        <v>6.2695797288774385E-13</v>
      </c>
      <c r="F21" s="20"/>
      <c r="H21" t="s">
        <v>27</v>
      </c>
    </row>
    <row r="22" spans="1:8" x14ac:dyDescent="0.35">
      <c r="D22" s="19" t="s">
        <v>17</v>
      </c>
      <c r="E22" s="1">
        <v>1.6972608865939587</v>
      </c>
      <c r="F22" s="20"/>
      <c r="H22" t="s">
        <v>28</v>
      </c>
    </row>
    <row r="23" spans="1:8" x14ac:dyDescent="0.35">
      <c r="D23" s="21" t="s">
        <v>18</v>
      </c>
      <c r="E23" s="4">
        <v>1.2539159457754877E-12</v>
      </c>
      <c r="F23" s="20"/>
    </row>
    <row r="24" spans="1:8" ht="15" thickBot="1" x14ac:dyDescent="0.4">
      <c r="D24" s="22" t="s">
        <v>19</v>
      </c>
      <c r="E24" s="2">
        <v>2.0422724563012378</v>
      </c>
      <c r="F24" s="23"/>
    </row>
    <row r="26" spans="1:8" ht="15" thickBot="1" x14ac:dyDescent="0.4"/>
    <row r="27" spans="1:8" x14ac:dyDescent="0.35">
      <c r="D27" s="24" t="s">
        <v>20</v>
      </c>
      <c r="E27" s="7">
        <f>SQRT(((COUNT(A2:A21)-1)*_xlfn.VAR.S(A2:A21) + (COUNT(B2:B21)-1)*_xlfn.VAR.S(B2:B21)) / (COUNT(A2:A21)+COUNT(B2:B21)-2))</f>
        <v>4.4240669548564284</v>
      </c>
    </row>
    <row r="28" spans="1:8" ht="15" thickBot="1" x14ac:dyDescent="0.4">
      <c r="D28" s="25" t="s">
        <v>21</v>
      </c>
      <c r="E28" s="13">
        <f>(AVERAGE(A2:A21)-AVERAGE(B2:B21))/E27</f>
        <v>-3.6730908835278582</v>
      </c>
    </row>
    <row r="31" spans="1:8" x14ac:dyDescent="0.35">
      <c r="B31" t="s">
        <v>22</v>
      </c>
      <c r="C31" t="s">
        <v>23</v>
      </c>
    </row>
    <row r="32" spans="1:8" x14ac:dyDescent="0.35">
      <c r="C32" t="s">
        <v>24</v>
      </c>
    </row>
    <row r="33" spans="3:3" x14ac:dyDescent="0.35">
      <c r="C33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bhagawathy manju</dc:creator>
  <cp:lastModifiedBy>Sanjana Nath</cp:lastModifiedBy>
  <dcterms:created xsi:type="dcterms:W3CDTF">2015-06-05T18:17:20Z</dcterms:created>
  <dcterms:modified xsi:type="dcterms:W3CDTF">2026-04-21T05:34:57Z</dcterms:modified>
</cp:coreProperties>
</file>